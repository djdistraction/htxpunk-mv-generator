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hot Sheet" sheetId="2" r:id="rId6"/>
    <sheet state="visible" name="Continuity Bible" sheetId="3" r:id="rId7"/>
    <sheet state="visible" name="Lookups" sheetId="4" r:id="rId8"/>
  </sheets>
  <definedNames/>
  <calcPr/>
</workbook>
</file>

<file path=xl/sharedStrings.xml><?xml version="1.0" encoding="utf-8"?>
<sst xmlns="http://schemas.openxmlformats.org/spreadsheetml/2006/main" count="413" uniqueCount="296">
  <si>
    <t>WOW OH! Animated Music Video Production Tracker</t>
  </si>
  <si>
    <t>Metric</t>
  </si>
  <si>
    <t>Value</t>
  </si>
  <si>
    <t>Section</t>
  </si>
  <si>
    <t>Shots</t>
  </si>
  <si>
    <t>Approx Duration (sec)</t>
  </si>
  <si>
    <t>Total Shots</t>
  </si>
  <si>
    <t>Intro</t>
  </si>
  <si>
    <t>Planned Runtime (sec)</t>
  </si>
  <si>
    <t>Verse / Invitation</t>
  </si>
  <si>
    <t>Planned Runtime (min)</t>
  </si>
  <si>
    <t>Chorus 1</t>
  </si>
  <si>
    <t>Average Shot Length (sec)</t>
  </si>
  <si>
    <t>Stress Verse</t>
  </si>
  <si>
    <t>High Priority Shots</t>
  </si>
  <si>
    <t>Release Verse</t>
  </si>
  <si>
    <t>Club Showcase</t>
  </si>
  <si>
    <t>Chorus 2</t>
  </si>
  <si>
    <t>Instrumental Bridge</t>
  </si>
  <si>
    <t>Final Bridge</t>
  </si>
  <si>
    <t>Final Hit</t>
  </si>
  <si>
    <t>Outro</t>
  </si>
  <si>
    <t>Shot #</t>
  </si>
  <si>
    <t>Timecode</t>
  </si>
  <si>
    <t>Duration (sec)</t>
  </si>
  <si>
    <t>Audio / Lyric Cue</t>
  </si>
  <si>
    <t>Location</t>
  </si>
  <si>
    <t>Characters</t>
  </si>
  <si>
    <t>Camera / Framing</t>
  </si>
  <si>
    <t>Action Description</t>
  </si>
  <si>
    <t>Mood / Performance</t>
  </si>
  <si>
    <t>Continuity / Props</t>
  </si>
  <si>
    <t>Status</t>
  </si>
  <si>
    <t>Priority</t>
  </si>
  <si>
    <t>Owner</t>
  </si>
  <si>
    <t>Notes</t>
  </si>
  <si>
    <t>0:00-0:05</t>
  </si>
  <si>
    <t>Welcome back... don't worry about all those... heathens...</t>
  </si>
  <si>
    <t>Stage / shadows</t>
  </si>
  <si>
    <t>Mr. V</t>
  </si>
  <si>
    <t>Extreme close-up, slow push-in</t>
  </si>
  <si>
    <t>Mr. V's face begins in shadow. He tips the top hat brim, revealing glowing green eyes through purple smoke.</t>
  </si>
  <si>
    <t>Intimate, amused, ominous</t>
  </si>
  <si>
    <t>Top hat, glowing green eyes, purple smoke, shadowed face</t>
  </si>
  <si>
    <t>Not Started</t>
  </si>
  <si>
    <t>High</t>
  </si>
  <si>
    <t>0:06-0:10</t>
  </si>
  <si>
    <t>I can HARDLY blame them! I'd be mad too... what can you do?</t>
  </si>
  <si>
    <t>Stage / piano area</t>
  </si>
  <si>
    <t>Mr. V, independent shadows</t>
  </si>
  <si>
    <t>Medium waist shot, gentle pullback</t>
  </si>
  <si>
    <t>Mr. V leans against a piano or stage prop and shrugs. His shadows echo him half a beat late.</t>
  </si>
  <si>
    <t>Sardonic charm</t>
  </si>
  <si>
    <t>Cane nearby, shadows behaving independently</t>
  </si>
  <si>
    <t>0:11-0:20</t>
  </si>
  <si>
    <t>Intro instrumental</t>
  </si>
  <si>
    <t>Center stage</t>
  </si>
  <si>
    <t>Mr. V, shadow silhouette</t>
  </si>
  <si>
    <t>Wide full-body shot, subtle circular move</t>
  </si>
  <si>
    <t>Mr. V spins his cane. His floor shadow detaches, bows, dances briefly, then dissolves back into the floor.</t>
  </si>
  <si>
    <t>Ritual awakening</t>
  </si>
  <si>
    <t>Skull-topped cane, green spotlight, smoky stage</t>
  </si>
  <si>
    <t>0:21-0:30</t>
  </si>
  <si>
    <t>Up-tempo instrumental lift</t>
  </si>
  <si>
    <t>Bandstand</t>
  </si>
  <si>
    <t>House band</t>
  </si>
  <si>
    <t>Fast montage of inserts and lateral sweep</t>
  </si>
  <si>
    <t>The house band comes alive: brass valves, drumsticks, upright bass, piano keys, cymbal hits, sax smoke.</t>
  </si>
  <si>
    <t>Energetic, stylish</t>
  </si>
  <si>
    <t>Undead jazz band integrated into same club world</t>
  </si>
  <si>
    <t>Medium</t>
  </si>
  <si>
    <t>0:31-0:35</t>
  </si>
  <si>
    <t>Front door, everybody come listen to Mr. Voodoo...</t>
  </si>
  <si>
    <t>Front door / main room</t>
  </si>
  <si>
    <t>Mr. V, entering patrons</t>
  </si>
  <si>
    <t>Medium-wide frontal stage view</t>
  </si>
  <si>
    <t>Mr. V points his cane toward the heavy front door. It opens with green-white light and silhouetted patrons enter.</t>
  </si>
  <si>
    <t>Commanding invitation</t>
  </si>
  <si>
    <t>Portal-like front door, silhouettes, green-white light</t>
  </si>
  <si>
    <t>0:36-0:40</t>
  </si>
  <si>
    <t>You gotta pay attention when I'm cookin' in the kitchen...</t>
  </si>
  <si>
    <t>Kitchen pass-through / service area</t>
  </si>
  <si>
    <t>Medium shot, slight push-in</t>
  </si>
  <si>
    <t>Mr. V stirs a glowing vessel or taps a drum-like surface, releasing magical vapor and musical notes.</t>
  </si>
  <si>
    <t>Playful alchemy</t>
  </si>
  <si>
    <t>Kitchen/service detail must belong to club</t>
  </si>
  <si>
    <t>0:41-0:45</t>
  </si>
  <si>
    <t>Ladies and gents... Answer my riddle:</t>
  </si>
  <si>
    <t>Dance floor</t>
  </si>
  <si>
    <t>Mr. V, crowd</t>
  </si>
  <si>
    <t>Low-angle medium-wide, slowly rising</t>
  </si>
  <si>
    <t>Mr. V strides into a dance-floor clearing. The crowd parts and walls begin to subtly expand.</t>
  </si>
  <si>
    <t>Ringmaster confidence</t>
  </si>
  <si>
    <t>Room begins bigger-on-inside transformation</t>
  </si>
  <si>
    <t>0:46-0:50</t>
  </si>
  <si>
    <t>It's bigger on the inside... give it a little jiggle</t>
  </si>
  <si>
    <t>Distorted main room</t>
  </si>
  <si>
    <t>Slight fisheye, gentle forward drift</t>
  </si>
  <si>
    <t>The club becomes impossible: hallways stretch, bottles tremble, lights wobble, and the room bounces on beat.</t>
  </si>
  <si>
    <t>Conspiratorial spectacle</t>
  </si>
  <si>
    <t>Elastic room distortion, no hard location jump</t>
  </si>
  <si>
    <t>0:51-0:55</t>
  </si>
  <si>
    <t>Dolls: Oo Wow! Oh! Oh my, oh!</t>
  </si>
  <si>
    <t>Stage</t>
  </si>
  <si>
    <t>The Dolls</t>
  </si>
  <si>
    <t>Frontal medium-wide stage shot</t>
  </si>
  <si>
    <t>The Dolls begin motionless, then snap into synchronized dance positions under blue-green spotlights.</t>
  </si>
  <si>
    <t>Iconic reveal</t>
  </si>
  <si>
    <t>Living voodoo dolls, stitched fabric, fingered hands, realistic outfits</t>
  </si>
  <si>
    <t>0:56-1:00</t>
  </si>
  <si>
    <t>Mr. V: What they got going on in there?!</t>
  </si>
  <si>
    <t>Interior door / keyhole</t>
  </si>
  <si>
    <t>The Dolls, Mr. V</t>
  </si>
  <si>
    <t>Medium shot from behind Dolls, quick reframe</t>
  </si>
  <si>
    <t>The Dolls peek through a glowing keyhole. Mr. V appears behind them with a huge grin and they jump.</t>
  </si>
  <si>
    <t>Comic surprise</t>
  </si>
  <si>
    <t>Glowing keyhole, same club interior</t>
  </si>
  <si>
    <t>1:01-1:05</t>
  </si>
  <si>
    <t>I heard they make your troubles disappear!</t>
  </si>
  <si>
    <t>Stage / dance floor edge</t>
  </si>
  <si>
    <t>Mr. V, center Doll</t>
  </si>
  <si>
    <t>Medium shot with fabric wipe</t>
  </si>
  <si>
    <t>Mr. V sweeps his coat across a Doll. Her visible burden dissolves into purple glitter and smoke.</t>
  </si>
  <si>
    <t>Dramatic release</t>
  </si>
  <si>
    <t>Effect reads as emotional release, not harm</t>
  </si>
  <si>
    <t>1:06-1:10</t>
  </si>
  <si>
    <t>Don't take your best dance to the grave!</t>
  </si>
  <si>
    <t>Mr. V, Dolls, patrons</t>
  </si>
  <si>
    <t>Wider stage-and-floor composition</t>
  </si>
  <si>
    <t>Mr. V and Dolls hit a crisp chorus accent. Dance floor lights up and patrons join in.</t>
  </si>
  <si>
    <t>Celebratory call-to-action</t>
  </si>
  <si>
    <t>Chorus motif established</t>
  </si>
  <si>
    <t>1:11-1:15</t>
  </si>
  <si>
    <t>Your boss is calling... got you hatin' retail</t>
  </si>
  <si>
    <t>Office-nightmare manifestation</t>
  </si>
  <si>
    <t>Mr. V, stress symbols</t>
  </si>
  <si>
    <t>Forward push down cubicle aisle</t>
  </si>
  <si>
    <t>The dance floor reshapes into a gray cubicle aisle with fluorescent glare and an aggressively ringing phone.</t>
  </si>
  <si>
    <t>Satirical pressure</t>
  </si>
  <si>
    <t>Temporary stress manifestation inside club magic</t>
  </si>
  <si>
    <t>1:16-1:21</t>
  </si>
  <si>
    <t>Detailed notes... BREATHE!</t>
  </si>
  <si>
    <t>Male Doll employee, boss figure</t>
  </si>
  <si>
    <t>Medium shot, quick push to looming boss shape</t>
  </si>
  <si>
    <t>A male Doll gestures at ignored notes while a boss presence looms. On BREATHE, everything freezes and inhales.</t>
  </si>
  <si>
    <t>Frustration to stillness</t>
  </si>
  <si>
    <t>Ignored notes, looming office presence, freeze beat</t>
  </si>
  <si>
    <t>1:22-1:26</t>
  </si>
  <si>
    <t>Think. You're safe, let that jaw get slack so you can drink.</t>
  </si>
  <si>
    <t>Office dissolving into club</t>
  </si>
  <si>
    <t>Mr. V, viewer POV</t>
  </si>
  <si>
    <t>Medium close-up, direct address</t>
  </si>
  <si>
    <t>Mr. V offers a glowing drink. Gray fluorescent stress melts back into club color.</t>
  </si>
  <si>
    <t>Comforting, hypnotic</t>
  </si>
  <si>
    <t>Glowing drink, color restoration</t>
  </si>
  <si>
    <t>1:27-1:32</t>
  </si>
  <si>
    <t>You need some peace... Tomorrow ain't today, no flack.</t>
  </si>
  <si>
    <t>Dance floor / bar area</t>
  </si>
  <si>
    <t>Dolls, patrons, stress symbols</t>
  </si>
  <si>
    <t>Gentle glide across floor and bar</t>
  </si>
  <si>
    <t>Phones, paperwork, and stress symbols float away into smoke. The crowd relaxes and the Dolls sway freely.</t>
  </si>
  <si>
    <t>Relief and perspective</t>
  </si>
  <si>
    <t>Stress debris dissolves, no abrupt cut</t>
  </si>
  <si>
    <t>1:33-1:41</t>
  </si>
  <si>
    <t>We got a band spinning out... put your new hat on...</t>
  </si>
  <si>
    <t>Full club</t>
  </si>
  <si>
    <t>Mr. V, band, DJ, bartender, patrons</t>
  </si>
  <si>
    <t>Fast inserts plus sweeping pass</t>
  </si>
  <si>
    <t>Montage of band, DJ booth, drinks, hats, footwork, and patrons joining dances. Mr. V threads through all spaces.</t>
  </si>
  <si>
    <t>Buoyant and irresistible</t>
  </si>
  <si>
    <t>Include DJ booth, bar, dance floor, band, hats</t>
  </si>
  <si>
    <t>1:42-1:47</t>
  </si>
  <si>
    <t>Dolls: Oo Wow! Oh! Oh my, oh! / Mr. V response</t>
  </si>
  <si>
    <t>Stage / main room</t>
  </si>
  <si>
    <t>Dolls, Mr. V, crowd</t>
  </si>
  <si>
    <t>Frontal medium-wide with stronger push-in</t>
  </si>
  <si>
    <t>The second chorus repeats the recognizable formation, but the room is fuller and brighter.</t>
  </si>
  <si>
    <t>Bigger and familiar</t>
  </si>
  <si>
    <t>Same chorus motif, increased crowd density</t>
  </si>
  <si>
    <t>1:48-1:52</t>
  </si>
  <si>
    <t>Main room crowd</t>
  </si>
  <si>
    <t>Mr. V, patrons</t>
  </si>
  <si>
    <t>Diagonal sweep across crowd</t>
  </si>
  <si>
    <t>Mr. V gestures across the room and several patrons visibly release tension at once.</t>
  </si>
  <si>
    <t>Collective cure</t>
  </si>
  <si>
    <t>Shoulders drop, smiles, room lightens</t>
  </si>
  <si>
    <t>1:53-1:57</t>
  </si>
  <si>
    <t>I got a cure for the hate you crave</t>
  </si>
  <si>
    <t>Mr. V, Dolls, crowd</t>
  </si>
  <si>
    <t>Medium shot, slight low angle</t>
  </si>
  <si>
    <t>Mr. V sings front and center as the Dolls frame him. The crowd responds behind him.</t>
  </si>
  <si>
    <t>Persuasive, sermon-like</t>
  </si>
  <si>
    <t>Tight spotlight on Mr. V</t>
  </si>
  <si>
    <t>1:58-2:02</t>
  </si>
  <si>
    <t>Full room</t>
  </si>
  <si>
    <t>Mr. V, Dolls, band, crowd</t>
  </si>
  <si>
    <t>Wide hero shot</t>
  </si>
  <si>
    <t>The main cast lands in a choreographed feature moment with band and patrons visible in layers.</t>
  </si>
  <si>
    <t>Exuberant and communal</t>
  </si>
  <si>
    <t>Full-room choreography and lighting peak so far</t>
  </si>
  <si>
    <t>2:03-2:12</t>
  </si>
  <si>
    <t>Instrumental bridge</t>
  </si>
  <si>
    <t>Full club fly-through</t>
  </si>
  <si>
    <t>Environment, patrons, band, DJ</t>
  </si>
  <si>
    <t>Smooth traveling fly-through</t>
  </si>
  <si>
    <t>Camera passes bar, stage, booth, floor, and back corners, showing magic embedded everywhere.</t>
  </si>
  <si>
    <t>Immersive environmental storytelling</t>
  </si>
  <si>
    <t>Single continuous club geography</t>
  </si>
  <si>
    <t>2:13-2:22</t>
  </si>
  <si>
    <t>Instrumental bridge continues</t>
  </si>
  <si>
    <t>Full club / center stage</t>
  </si>
  <si>
    <t>Band, Dolls, bartender, DJ, crowd, Mr. V</t>
  </si>
  <si>
    <t>Rhythmic inserts ending on center stage</t>
  </si>
  <si>
    <t>Escalating feature moments: brass hit, Doll flourish, glowing drink slide, DJ cue, crowd cheer, Mr. V steps into spotlight.</t>
  </si>
  <si>
    <t>Rising anticipation</t>
  </si>
  <si>
    <t>Build toward bridge vocal</t>
  </si>
  <si>
    <t>2:23-2:27</t>
  </si>
  <si>
    <t>No hurries, no worries my friend...</t>
  </si>
  <si>
    <t>Main room / stage</t>
  </si>
  <si>
    <t>Slow gliding medium-wide</t>
  </si>
  <si>
    <t>Choreography loosens. Mr. V sings openly as the crowd sways with relief.</t>
  </si>
  <si>
    <t>Warm reassurance</t>
  </si>
  <si>
    <t>More sincere but still theatrical</t>
  </si>
  <si>
    <t>2:28-2:32</t>
  </si>
  <si>
    <t>It all works out, in the end...</t>
  </si>
  <si>
    <t>Crowd / dance floor</t>
  </si>
  <si>
    <t>Patrons, friends, Dolls</t>
  </si>
  <si>
    <t>Close-to-medium reaction inserts</t>
  </si>
  <si>
    <t>Patrons let go through small human details: unclenched hands, relaxed shoulders, reconnected friends.</t>
  </si>
  <si>
    <t>Personal release</t>
  </si>
  <si>
    <t>Emotional reaction details</t>
  </si>
  <si>
    <t>2:33-2:37</t>
  </si>
  <si>
    <t>Intended, unintended, don't matter at all</t>
  </si>
  <si>
    <t>Main room</t>
  </si>
  <si>
    <t>Medium shot with environmental motion</t>
  </si>
  <si>
    <t>Stress debris floats up and dissolves around Mr. V as he stands within the moving crowd.</t>
  </si>
  <si>
    <t>Reflective acceptance</t>
  </si>
  <si>
    <t>Paper fragments, text bubbles, purple smoke</t>
  </si>
  <si>
    <t>2:38-2:43</t>
  </si>
  <si>
    <t>Past is the past baby, pass the ball!</t>
  </si>
  <si>
    <t>Center stage / POV</t>
  </si>
  <si>
    <t>Mr. V, full cast</t>
  </si>
  <si>
    <t>Medium close-up becoming near-POV</t>
  </si>
  <si>
    <t>Mr. V conjures a shadow-and-light sphere and tosses it toward the camera as a symbolic handoff.</t>
  </si>
  <si>
    <t>Triumphant release</t>
  </si>
  <si>
    <t>Glowing sphere, cast reaction behind him</t>
  </si>
  <si>
    <t>2:44-2:45</t>
  </si>
  <si>
    <t>Woo!</t>
  </si>
  <si>
    <t>Quick wide accent shot</t>
  </si>
  <si>
    <t>Mr. V kicks or redirects the sphere over the crowd. The room erupts in one final burst.</t>
  </si>
  <si>
    <t>Flashy punctuation</t>
  </si>
  <si>
    <t>Light streak, applause, color burst</t>
  </si>
  <si>
    <t>2:46-2:55</t>
  </si>
  <si>
    <t>Instrumental outro</t>
  </si>
  <si>
    <t>Stage / full room</t>
  </si>
  <si>
    <t>Slow pullback from stage</t>
  </si>
  <si>
    <t>The club settles into an afterglow. Lights dim in layers while dancing continues with less intensity.</t>
  </si>
  <si>
    <t>Graceful afterglow</t>
  </si>
  <si>
    <t>Haze thickens, room abstracts</t>
  </si>
  <si>
    <t>2:56-3:05</t>
  </si>
  <si>
    <t>Instrumental outro to end</t>
  </si>
  <si>
    <t>Darkened club</t>
  </si>
  <si>
    <t>Static or near-static final composition</t>
  </si>
  <si>
    <t>Final lights click off until only Mr. V's glowing green eyes remain, then fade completely.</t>
  </si>
  <si>
    <t>Iconic, ominous final image</t>
  </si>
  <si>
    <t>Green eyes, darkness, fade to black</t>
  </si>
  <si>
    <t>Category</t>
  </si>
  <si>
    <t>Standard</t>
  </si>
  <si>
    <t>Core Concept</t>
  </si>
  <si>
    <t>A stressed viewer enters Mr. V's magical underground club and experiences supernatural emotional release through music, dance, and nightlife ritual.</t>
  </si>
  <si>
    <t>Visual World</t>
  </si>
  <si>
    <t>One continuous magical venue: front door, stage, bar, DJ booth, dance floor, stripper pole in the center of the dance floor, kitchen pass-through, back corners, and overhead floorboard atmosphere.</t>
  </si>
  <si>
    <t>Charismatic villain host with top hat, purple tailcoat, skull-topped cane, glowing green eyes, direct camera address, controlled theatrical movement.</t>
  </si>
  <si>
    <t>DJ Voodoo</t>
  </si>
  <si>
    <t>Quick witted social butterfly, Black snap-back hat, black leather jacket, black pants, black and gold Nike Air Jordan's, Black framed glasses, Green button eyes, The resident DJ of the Voodoo world.</t>
  </si>
  <si>
    <t>Living voodoo-doll backup singers/dancers with stitched fabric skin, expressive faces, fingered hands, and realistic nightlife clothing.</t>
  </si>
  <si>
    <t>House Band</t>
  </si>
  <si>
    <t>Undead jazz ensemble integrated into the same club world: brass, drums, upright bass, piano, and smoky stage presence.</t>
  </si>
  <si>
    <t>Color Palette</t>
  </si>
  <si>
    <t>Poisonous green glow, purple smoke, warm amber stage light, deep black shadows, hot pink/gold only for major chorus lifts.</t>
  </si>
  <si>
    <t>Motion Style</t>
  </si>
  <si>
    <t>Swing, bounce, snap, and groove. Spoken sections hold longer; rap sections use denser gesture-based cutting; choruses repeat a recognizable signature formation.</t>
  </si>
  <si>
    <t>Transformation Logic</t>
  </si>
  <si>
    <t>The club transforms from within. Walls stretch, lights pulse, shadows detach, and stress symbols dissolve without jumping to unrelated worlds.</t>
  </si>
  <si>
    <t>Office Nightmare</t>
  </si>
  <si>
    <t>A temporary manifestation of work stress inside the club's magic. It must dissolve back into the nightlife environment.</t>
  </si>
  <si>
    <t>Final Image</t>
  </si>
  <si>
    <t>Lights fade until only Mr. V's glowing green eyes remain, then black.</t>
  </si>
  <si>
    <t>Statuses</t>
  </si>
  <si>
    <t>Priorities</t>
  </si>
  <si>
    <t>Sections</t>
  </si>
  <si>
    <t>In Progress</t>
  </si>
  <si>
    <t>Needs Review</t>
  </si>
  <si>
    <t>Low</t>
  </si>
  <si>
    <t>Locked</t>
  </si>
  <si>
    <t>Rework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</si>
</sst>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sz val="14.0"/>
      <color theme="1"/>
      <name val="Carlito"/>
      <scheme val="minor"/>
    </font>
    <font>
      <b/>
      <sz val="14.0"/>
      <color rgb="FF000000"/>
      <name val="Courier Prime"/>
    </font>
    <font>
      <b/>
      <sz val="14.0"/>
      <color rgb="FFFFFFFF"/>
      <name val="Courier Prime"/>
    </font>
    <font>
      <sz val="14.0"/>
      <color theme="1"/>
      <name val="Courier Prime"/>
    </font>
    <font>
      <color theme="1"/>
      <name val="Carlito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1F2937"/>
        <bgColor rgb="FF1F2937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4" fontId="3" numFmtId="0" xfId="0" applyFill="1" applyFont="1"/>
    <xf borderId="0" fillId="0" fontId="4" numFmtId="0" xfId="0" applyAlignment="1" applyFont="1">
      <alignment horizontal="center"/>
    </xf>
    <xf borderId="0" fillId="5" fontId="4" numFmtId="0" xfId="0" applyFill="1" applyFont="1"/>
    <xf borderId="0" fillId="0" fontId="4" numFmtId="1" xfId="0" applyFont="1" applyNumberFormat="1"/>
    <xf borderId="0" fillId="0" fontId="4" numFmtId="164" xfId="0" applyAlignment="1" applyFont="1" applyNumberFormat="1">
      <alignment horizontal="center"/>
    </xf>
    <xf borderId="0" fillId="6" fontId="5" numFmtId="0" xfId="0" applyFill="1" applyFont="1"/>
    <xf borderId="1" fillId="7" fontId="6" numFmtId="0" xfId="0" applyAlignment="1" applyBorder="1" applyFill="1" applyFont="1">
      <alignment horizontal="center" readingOrder="0" shrinkToFit="0" textRotation="45" vertical="bottom" wrapText="1"/>
    </xf>
    <xf borderId="1" fillId="6" fontId="7" numFmtId="0" xfId="0" applyAlignment="1" applyBorder="1" applyFont="1">
      <alignment horizontal="center" shrinkToFit="0" textRotation="45" vertical="bottom" wrapText="1"/>
    </xf>
    <xf borderId="1" fillId="7" fontId="6" numFmtId="0" xfId="0" applyAlignment="1" applyBorder="1" applyFont="1">
      <alignment horizontal="center" shrinkToFit="0" textRotation="0" vertical="bottom" wrapText="1"/>
    </xf>
    <xf borderId="1" fillId="7" fontId="6" numFmtId="0" xfId="0" applyAlignment="1" applyBorder="1" applyFont="1">
      <alignment horizontal="center" shrinkToFit="0" textRotation="45" vertical="bottom" wrapText="1"/>
    </xf>
    <xf borderId="1" fillId="6" fontId="7" numFmtId="0" xfId="0" applyAlignment="1" applyBorder="1" applyFont="1">
      <alignment horizontal="center" shrinkToFit="0" textRotation="0" vertical="bottom" wrapText="1"/>
    </xf>
    <xf borderId="0" fillId="6" fontId="8" numFmtId="0" xfId="0" applyAlignment="1" applyFont="1">
      <alignment horizontal="center" shrinkToFit="0" textRotation="45" vertical="bottom" wrapText="1"/>
    </xf>
    <xf borderId="0" fillId="0" fontId="8" numFmtId="0" xfId="0" applyAlignment="1" applyFont="1">
      <alignment horizontal="center" shrinkToFit="0" textRotation="45" vertical="bottom" wrapText="1"/>
    </xf>
    <xf borderId="0" fillId="6" fontId="9" numFmtId="0" xfId="0" applyFont="1"/>
    <xf borderId="2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0" fillId="6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6" fontId="8" numFmtId="0" xfId="0" applyAlignment="1" applyFont="1">
      <alignment horizontal="center" shrinkToFit="0" vertical="center" wrapText="1"/>
    </xf>
    <xf borderId="0" fillId="6" fontId="9" numFmtId="0" xfId="0" applyFont="1"/>
    <xf borderId="1" fillId="3" fontId="7" numFmtId="0" xfId="0" applyAlignment="1" applyBorder="1" applyFont="1">
      <alignment horizontal="center" vertical="top"/>
    </xf>
    <xf borderId="0" fillId="0" fontId="8" numFmtId="0" xfId="0" applyFont="1"/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0" fillId="3" fontId="2" numFmtId="0" xfId="0" applyAlignment="1" applyFont="1">
      <alignment horizontal="center" vertical="center"/>
    </xf>
    <xf borderId="0" fillId="0" fontId="9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>
        <b/>
        <color rgb="FF991B1B"/>
      </font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9A3412"/>
      </font>
      <fill>
        <patternFill patternType="solid">
          <fgColor rgb="FFFFEDD5"/>
          <bgColor rgb="FFFFEDD5"/>
        </patternFill>
      </fill>
      <border/>
    </dxf>
  </dxfs>
  <tableStyles count="4"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Dashboard-style 2">
      <tableStyleElement dxfId="1" type="headerRow"/>
      <tableStyleElement dxfId="2" type="firstRowStripe"/>
      <tableStyleElement dxfId="3" type="secondRowStripe"/>
    </tableStyle>
    <tableStyle count="2" pivot="0" name="Shot Sheet-style">
      <tableStyleElement dxfId="4" type="firstRowStripe"/>
      <tableStyleElement dxfId="5" type="secondRowStripe"/>
    </tableStyle>
    <tableStyle count="3" pivot="0" name="Continuity Bi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Duration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Dashboard!$D$4:$D$14</c:f>
            </c:strRef>
          </c:cat>
          <c:val>
            <c:numRef>
              <c:f>Dashboard!$F$4:$F$14</c:f>
              <c:numCache/>
            </c:numRef>
          </c:val>
        </c:ser>
        <c:axId val="1883830625"/>
        <c:axId val="1384610127"/>
      </c:barChart>
      <c:catAx>
        <c:axId val="1883830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4610127"/>
      </c:catAx>
      <c:valAx>
        <c:axId val="1384610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83062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15</xdr:row>
      <xdr:rowOff>57150</xdr:rowOff>
    </xdr:from>
    <xdr:ext cx="8953500" cy="3238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8" displayName="Table_1" name="Table_1" id="1">
  <tableColumns count="2">
    <tableColumn name="Metric" id="1"/>
    <tableColumn name="Value" id="2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D3:F14" displayName="Table_2" name="Table_2" id="2">
  <tableColumns count="3">
    <tableColumn name="Section" id="1"/>
    <tableColumn name="Shots" id="2"/>
    <tableColumn name="Approx Duration (sec)" id="3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:P32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ot Sheet-style" showColumnStripes="0" showFirstColumn="1" showLastColumn="1" showRowStripes="1"/>
</table>
</file>

<file path=xl/tables/table4.xml><?xml version="1.0" encoding="utf-8"?>
<table xmlns="http://schemas.openxmlformats.org/spreadsheetml/2006/main" ref="A1:B12" displayName="Table_4" name="Table_4" id="4">
  <tableColumns count="2">
    <tableColumn name="Category" id="1"/>
    <tableColumn name="Standard" id="2"/>
  </tableColumns>
  <tableStyleInfo name="Continuity Bi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8.0"/>
    <col customWidth="1" min="3" max="3" width="16.0"/>
    <col customWidth="1" min="4" max="4" width="24.0"/>
    <col customWidth="1" min="5" max="6" width="16.0"/>
    <col customWidth="1" min="7" max="26" width="8.63"/>
  </cols>
  <sheetData>
    <row r="1" ht="27.75" customHeight="1">
      <c r="A1" s="1" t="s">
        <v>0</v>
      </c>
    </row>
    <row r="3">
      <c r="A3" s="2" t="s">
        <v>1</v>
      </c>
      <c r="B3" s="2" t="s">
        <v>2</v>
      </c>
      <c r="D3" s="2" t="s">
        <v>3</v>
      </c>
      <c r="E3" s="2" t="s">
        <v>4</v>
      </c>
      <c r="F3" s="2" t="s">
        <v>5</v>
      </c>
    </row>
    <row r="4">
      <c r="A4" s="3" t="s">
        <v>6</v>
      </c>
      <c r="B4" s="4">
        <f>COUNTA('Shot Sheet'!B2:B31)</f>
        <v>30</v>
      </c>
      <c r="D4" s="5" t="s">
        <v>7</v>
      </c>
      <c r="E4" s="6">
        <f>COUNTIF('Shot Sheet'!$E$2:$E$31,D4)</f>
        <v>4</v>
      </c>
      <c r="F4" s="6">
        <f>SUMIF('Shot Sheet'!$E$2:$E$31,D4,'Shot Sheet'!$D$2:$D$31)</f>
        <v>30</v>
      </c>
    </row>
    <row r="5">
      <c r="A5" s="3" t="s">
        <v>8</v>
      </c>
      <c r="B5" s="7">
        <f>SUM('Shot Sheet'!D2:D31)</f>
        <v>185</v>
      </c>
      <c r="D5" s="5" t="s">
        <v>9</v>
      </c>
      <c r="E5" s="6">
        <f>COUNTIF('Shot Sheet'!$E$2:$E$31,D5)</f>
        <v>4</v>
      </c>
      <c r="F5" s="6">
        <f>SUMIF('Shot Sheet'!$E$2:$E$31,D5,'Shot Sheet'!$D$2:$D$31)</f>
        <v>20</v>
      </c>
    </row>
    <row r="6">
      <c r="A6" s="3" t="s">
        <v>10</v>
      </c>
      <c r="B6" s="7">
        <f>B5/60</f>
        <v>3.083333333</v>
      </c>
      <c r="D6" s="5" t="s">
        <v>11</v>
      </c>
      <c r="E6" s="6">
        <f>COUNTIF('Shot Sheet'!$E$2:$E$31,D6)</f>
        <v>4</v>
      </c>
      <c r="F6" s="6">
        <f>SUMIF('Shot Sheet'!$E$2:$E$31,D6,'Shot Sheet'!$D$2:$D$31)</f>
        <v>20</v>
      </c>
    </row>
    <row r="7">
      <c r="A7" s="3" t="s">
        <v>12</v>
      </c>
      <c r="B7" s="7">
        <f>AVERAGE('Shot Sheet'!D2:D31)</f>
        <v>6.166666667</v>
      </c>
      <c r="D7" s="5" t="s">
        <v>13</v>
      </c>
      <c r="E7" s="6">
        <f>COUNTIF('Shot Sheet'!$E$2:$E$31,D7)</f>
        <v>2</v>
      </c>
      <c r="F7" s="6">
        <f>SUMIF('Shot Sheet'!$E$2:$E$31,D7,'Shot Sheet'!$D$2:$D$31)</f>
        <v>11</v>
      </c>
    </row>
    <row r="8">
      <c r="A8" s="3" t="s">
        <v>14</v>
      </c>
      <c r="B8" s="7">
        <f>COUNTIF('Shot Sheet'!N2:N31,"High")</f>
        <v>21</v>
      </c>
      <c r="D8" s="5" t="s">
        <v>15</v>
      </c>
      <c r="E8" s="6">
        <f>COUNTIF('Shot Sheet'!$E$2:$E$31,D8)</f>
        <v>2</v>
      </c>
      <c r="F8" s="6">
        <f>SUMIF('Shot Sheet'!$E$2:$E$31,D8,'Shot Sheet'!$D$2:$D$31)</f>
        <v>11</v>
      </c>
    </row>
    <row r="9">
      <c r="D9" s="5" t="s">
        <v>16</v>
      </c>
      <c r="E9" s="6">
        <f>COUNTIF('Shot Sheet'!$E$2:$E$31,D9)</f>
        <v>1</v>
      </c>
      <c r="F9" s="6">
        <f>SUMIF('Shot Sheet'!$E$2:$E$31,D9,'Shot Sheet'!$D$2:$D$31)</f>
        <v>9</v>
      </c>
    </row>
    <row r="10">
      <c r="D10" s="5" t="s">
        <v>17</v>
      </c>
      <c r="E10" s="6">
        <f>COUNTIF('Shot Sheet'!$E$2:$E$31,D10)</f>
        <v>4</v>
      </c>
      <c r="F10" s="6">
        <f>SUMIF('Shot Sheet'!$E$2:$E$31,D10,'Shot Sheet'!$D$2:$D$31)</f>
        <v>21</v>
      </c>
    </row>
    <row r="11">
      <c r="D11" s="5" t="s">
        <v>18</v>
      </c>
      <c r="E11" s="6">
        <f>COUNTIF('Shot Sheet'!$E$2:$E$31,D11)</f>
        <v>2</v>
      </c>
      <c r="F11" s="6">
        <f>SUMIF('Shot Sheet'!$E$2:$E$31,D11,'Shot Sheet'!$D$2:$D$31)</f>
        <v>20</v>
      </c>
    </row>
    <row r="12">
      <c r="D12" s="5" t="s">
        <v>19</v>
      </c>
      <c r="E12" s="6">
        <f>COUNTIF('Shot Sheet'!$E$2:$E$31,D12)</f>
        <v>4</v>
      </c>
      <c r="F12" s="6">
        <f>SUMIF('Shot Sheet'!$E$2:$E$31,D12,'Shot Sheet'!$D$2:$D$31)</f>
        <v>21</v>
      </c>
    </row>
    <row r="13">
      <c r="D13" s="5" t="s">
        <v>20</v>
      </c>
      <c r="E13" s="6">
        <f>COUNTIF('Shot Sheet'!$E$2:$E$31,D13)</f>
        <v>1</v>
      </c>
      <c r="F13" s="6">
        <f>SUMIF('Shot Sheet'!$E$2:$E$31,D13,'Shot Sheet'!$D$2:$D$31)</f>
        <v>2</v>
      </c>
    </row>
    <row r="14">
      <c r="D14" s="5" t="s">
        <v>21</v>
      </c>
      <c r="E14" s="6">
        <f>COUNTIF('Shot Sheet'!$E$2:$E$31,D14)</f>
        <v>2</v>
      </c>
      <c r="F14" s="6">
        <f>SUMIF('Shot Sheet'!$E$2:$E$31,D14,'Shot Sheet'!$D$2:$D$31)</f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7.5"/>
    <col customWidth="1" min="3" max="3" width="13.88"/>
    <col customWidth="1" min="4" max="4" width="7.5"/>
    <col customWidth="1" min="5" max="5" width="16.63"/>
    <col customWidth="1" min="6" max="6" width="32.0"/>
    <col customWidth="1" min="7" max="7" width="17.75"/>
    <col customWidth="1" min="8" max="8" width="18.63"/>
    <col customWidth="1" min="9" max="10" width="43.5"/>
    <col customWidth="1" min="11" max="11" width="17.75"/>
    <col customWidth="1" min="12" max="12" width="42.75"/>
    <col customWidth="1" min="13" max="15" width="14.13"/>
    <col customWidth="1" min="16" max="16" width="42.75"/>
    <col customWidth="1" min="17" max="17" width="2.0"/>
    <col customWidth="1" min="18" max="27" width="13.63"/>
  </cols>
  <sheetData>
    <row r="1" ht="97.5" customHeight="1">
      <c r="A1" s="8"/>
      <c r="B1" s="9" t="s">
        <v>22</v>
      </c>
      <c r="C1" s="10" t="s">
        <v>23</v>
      </c>
      <c r="D1" s="9" t="s">
        <v>24</v>
      </c>
      <c r="E1" s="10" t="s">
        <v>3</v>
      </c>
      <c r="F1" s="11" t="s">
        <v>25</v>
      </c>
      <c r="G1" s="10" t="s">
        <v>26</v>
      </c>
      <c r="H1" s="12" t="s">
        <v>27</v>
      </c>
      <c r="I1" s="13" t="s">
        <v>28</v>
      </c>
      <c r="J1" s="12" t="s">
        <v>29</v>
      </c>
      <c r="K1" s="10" t="s">
        <v>30</v>
      </c>
      <c r="L1" s="11" t="s">
        <v>31</v>
      </c>
      <c r="M1" s="10" t="s">
        <v>32</v>
      </c>
      <c r="N1" s="12" t="s">
        <v>33</v>
      </c>
      <c r="O1" s="10" t="s">
        <v>34</v>
      </c>
      <c r="P1" s="11" t="s">
        <v>35</v>
      </c>
      <c r="Q1" s="14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6"/>
      <c r="B2" s="17">
        <v>1.0</v>
      </c>
      <c r="C2" s="18" t="s">
        <v>36</v>
      </c>
      <c r="D2" s="19">
        <v>5.0</v>
      </c>
      <c r="E2" s="20" t="s">
        <v>7</v>
      </c>
      <c r="F2" s="21" t="s">
        <v>37</v>
      </c>
      <c r="G2" s="21" t="s">
        <v>38</v>
      </c>
      <c r="H2" s="17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/>
      <c r="P2" s="21"/>
      <c r="Q2" s="22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16"/>
      <c r="B3" s="19">
        <f t="shared" ref="B3:B31" si="1">B2+1</f>
        <v>2</v>
      </c>
      <c r="C3" s="18" t="s">
        <v>46</v>
      </c>
      <c r="D3" s="17">
        <v>5.0</v>
      </c>
      <c r="E3" s="19" t="s">
        <v>7</v>
      </c>
      <c r="F3" s="18" t="s">
        <v>47</v>
      </c>
      <c r="G3" s="18" t="s">
        <v>48</v>
      </c>
      <c r="H3" s="19" t="s">
        <v>49</v>
      </c>
      <c r="I3" s="18" t="s">
        <v>50</v>
      </c>
      <c r="J3" s="18" t="s">
        <v>51</v>
      </c>
      <c r="K3" s="18" t="s">
        <v>52</v>
      </c>
      <c r="L3" s="18" t="s">
        <v>53</v>
      </c>
      <c r="M3" s="18" t="s">
        <v>44</v>
      </c>
      <c r="N3" s="18" t="s">
        <v>45</v>
      </c>
      <c r="O3" s="18"/>
      <c r="P3" s="18"/>
      <c r="Q3" s="22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16"/>
      <c r="B4" s="19">
        <f t="shared" si="1"/>
        <v>3</v>
      </c>
      <c r="C4" s="18" t="s">
        <v>54</v>
      </c>
      <c r="D4" s="19">
        <v>10.0</v>
      </c>
      <c r="E4" s="19" t="s">
        <v>7</v>
      </c>
      <c r="F4" s="18" t="s">
        <v>55</v>
      </c>
      <c r="G4" s="18" t="s">
        <v>56</v>
      </c>
      <c r="H4" s="19" t="s">
        <v>57</v>
      </c>
      <c r="I4" s="18" t="s">
        <v>58</v>
      </c>
      <c r="J4" s="18" t="s">
        <v>59</v>
      </c>
      <c r="K4" s="18" t="s">
        <v>60</v>
      </c>
      <c r="L4" s="18" t="s">
        <v>61</v>
      </c>
      <c r="M4" s="18" t="s">
        <v>44</v>
      </c>
      <c r="N4" s="18" t="s">
        <v>45</v>
      </c>
      <c r="O4" s="18"/>
      <c r="P4" s="18"/>
      <c r="Q4" s="22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16"/>
      <c r="B5" s="19">
        <f t="shared" si="1"/>
        <v>4</v>
      </c>
      <c r="C5" s="18" t="s">
        <v>62</v>
      </c>
      <c r="D5" s="19">
        <v>10.0</v>
      </c>
      <c r="E5" s="19" t="s">
        <v>7</v>
      </c>
      <c r="F5" s="18" t="s">
        <v>63</v>
      </c>
      <c r="G5" s="18" t="s">
        <v>64</v>
      </c>
      <c r="H5" s="19" t="s">
        <v>65</v>
      </c>
      <c r="I5" s="18" t="s">
        <v>66</v>
      </c>
      <c r="J5" s="18" t="s">
        <v>67</v>
      </c>
      <c r="K5" s="18" t="s">
        <v>68</v>
      </c>
      <c r="L5" s="18" t="s">
        <v>69</v>
      </c>
      <c r="M5" s="18" t="s">
        <v>44</v>
      </c>
      <c r="N5" s="18" t="s">
        <v>70</v>
      </c>
      <c r="O5" s="18"/>
      <c r="P5" s="18"/>
      <c r="Q5" s="22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16"/>
      <c r="B6" s="19">
        <f t="shared" si="1"/>
        <v>5</v>
      </c>
      <c r="C6" s="18" t="s">
        <v>71</v>
      </c>
      <c r="D6" s="19">
        <v>5.0</v>
      </c>
      <c r="E6" s="19" t="s">
        <v>9</v>
      </c>
      <c r="F6" s="18" t="s">
        <v>72</v>
      </c>
      <c r="G6" s="18" t="s">
        <v>73</v>
      </c>
      <c r="H6" s="19" t="s">
        <v>74</v>
      </c>
      <c r="I6" s="18" t="s">
        <v>75</v>
      </c>
      <c r="J6" s="18" t="s">
        <v>76</v>
      </c>
      <c r="K6" s="18" t="s">
        <v>77</v>
      </c>
      <c r="L6" s="18" t="s">
        <v>78</v>
      </c>
      <c r="M6" s="18" t="s">
        <v>44</v>
      </c>
      <c r="N6" s="18" t="s">
        <v>45</v>
      </c>
      <c r="O6" s="18"/>
      <c r="P6" s="18"/>
      <c r="Q6" s="22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16"/>
      <c r="B7" s="19">
        <f t="shared" si="1"/>
        <v>6</v>
      </c>
      <c r="C7" s="18" t="s">
        <v>79</v>
      </c>
      <c r="D7" s="19">
        <v>5.0</v>
      </c>
      <c r="E7" s="19" t="s">
        <v>9</v>
      </c>
      <c r="F7" s="18" t="s">
        <v>80</v>
      </c>
      <c r="G7" s="18" t="s">
        <v>81</v>
      </c>
      <c r="H7" s="19" t="s">
        <v>39</v>
      </c>
      <c r="I7" s="18" t="s">
        <v>82</v>
      </c>
      <c r="J7" s="18" t="s">
        <v>83</v>
      </c>
      <c r="K7" s="18" t="s">
        <v>84</v>
      </c>
      <c r="L7" s="18" t="s">
        <v>85</v>
      </c>
      <c r="M7" s="18" t="s">
        <v>44</v>
      </c>
      <c r="N7" s="18" t="s">
        <v>70</v>
      </c>
      <c r="O7" s="18"/>
      <c r="P7" s="18"/>
      <c r="Q7" s="22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16"/>
      <c r="B8" s="19">
        <f t="shared" si="1"/>
        <v>7</v>
      </c>
      <c r="C8" s="18" t="s">
        <v>86</v>
      </c>
      <c r="D8" s="19">
        <v>5.0</v>
      </c>
      <c r="E8" s="19" t="s">
        <v>9</v>
      </c>
      <c r="F8" s="18" t="s">
        <v>87</v>
      </c>
      <c r="G8" s="18" t="s">
        <v>88</v>
      </c>
      <c r="H8" s="19" t="s">
        <v>89</v>
      </c>
      <c r="I8" s="18" t="s">
        <v>90</v>
      </c>
      <c r="J8" s="18" t="s">
        <v>91</v>
      </c>
      <c r="K8" s="18" t="s">
        <v>92</v>
      </c>
      <c r="L8" s="18" t="s">
        <v>93</v>
      </c>
      <c r="M8" s="18" t="s">
        <v>44</v>
      </c>
      <c r="N8" s="18" t="s">
        <v>45</v>
      </c>
      <c r="O8" s="18"/>
      <c r="P8" s="18"/>
      <c r="Q8" s="22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16"/>
      <c r="B9" s="19">
        <f t="shared" si="1"/>
        <v>8</v>
      </c>
      <c r="C9" s="18" t="s">
        <v>94</v>
      </c>
      <c r="D9" s="19">
        <v>5.0</v>
      </c>
      <c r="E9" s="19" t="s">
        <v>9</v>
      </c>
      <c r="F9" s="18" t="s">
        <v>95</v>
      </c>
      <c r="G9" s="18" t="s">
        <v>96</v>
      </c>
      <c r="H9" s="19" t="s">
        <v>89</v>
      </c>
      <c r="I9" s="18" t="s">
        <v>97</v>
      </c>
      <c r="J9" s="18" t="s">
        <v>98</v>
      </c>
      <c r="K9" s="18" t="s">
        <v>99</v>
      </c>
      <c r="L9" s="18" t="s">
        <v>100</v>
      </c>
      <c r="M9" s="18" t="s">
        <v>44</v>
      </c>
      <c r="N9" s="18" t="s">
        <v>45</v>
      </c>
      <c r="O9" s="18"/>
      <c r="P9" s="18"/>
      <c r="Q9" s="22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16"/>
      <c r="B10" s="19">
        <f t="shared" si="1"/>
        <v>9</v>
      </c>
      <c r="C10" s="18" t="s">
        <v>101</v>
      </c>
      <c r="D10" s="19">
        <v>5.0</v>
      </c>
      <c r="E10" s="19" t="s">
        <v>11</v>
      </c>
      <c r="F10" s="18" t="s">
        <v>102</v>
      </c>
      <c r="G10" s="18" t="s">
        <v>103</v>
      </c>
      <c r="H10" s="19" t="s">
        <v>104</v>
      </c>
      <c r="I10" s="18" t="s">
        <v>105</v>
      </c>
      <c r="J10" s="18" t="s">
        <v>106</v>
      </c>
      <c r="K10" s="18" t="s">
        <v>107</v>
      </c>
      <c r="L10" s="18" t="s">
        <v>108</v>
      </c>
      <c r="M10" s="18" t="s">
        <v>44</v>
      </c>
      <c r="N10" s="18" t="s">
        <v>45</v>
      </c>
      <c r="O10" s="18"/>
      <c r="P10" s="18"/>
      <c r="Q10" s="22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16"/>
      <c r="B11" s="19">
        <f t="shared" si="1"/>
        <v>10</v>
      </c>
      <c r="C11" s="18" t="s">
        <v>109</v>
      </c>
      <c r="D11" s="19">
        <v>5.0</v>
      </c>
      <c r="E11" s="19" t="s">
        <v>11</v>
      </c>
      <c r="F11" s="18" t="s">
        <v>110</v>
      </c>
      <c r="G11" s="18" t="s">
        <v>111</v>
      </c>
      <c r="H11" s="19" t="s">
        <v>112</v>
      </c>
      <c r="I11" s="18" t="s">
        <v>113</v>
      </c>
      <c r="J11" s="18" t="s">
        <v>114</v>
      </c>
      <c r="K11" s="18" t="s">
        <v>115</v>
      </c>
      <c r="L11" s="18" t="s">
        <v>116</v>
      </c>
      <c r="M11" s="18" t="s">
        <v>44</v>
      </c>
      <c r="N11" s="18" t="s">
        <v>70</v>
      </c>
      <c r="O11" s="18"/>
      <c r="P11" s="18"/>
      <c r="Q11" s="22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16"/>
      <c r="B12" s="19">
        <f t="shared" si="1"/>
        <v>11</v>
      </c>
      <c r="C12" s="18" t="s">
        <v>117</v>
      </c>
      <c r="D12" s="19">
        <v>5.0</v>
      </c>
      <c r="E12" s="19" t="s">
        <v>11</v>
      </c>
      <c r="F12" s="18" t="s">
        <v>118</v>
      </c>
      <c r="G12" s="18" t="s">
        <v>119</v>
      </c>
      <c r="H12" s="19" t="s">
        <v>120</v>
      </c>
      <c r="I12" s="18" t="s">
        <v>121</v>
      </c>
      <c r="J12" s="18" t="s">
        <v>122</v>
      </c>
      <c r="K12" s="18" t="s">
        <v>123</v>
      </c>
      <c r="L12" s="18" t="s">
        <v>124</v>
      </c>
      <c r="M12" s="18" t="s">
        <v>44</v>
      </c>
      <c r="N12" s="18" t="s">
        <v>45</v>
      </c>
      <c r="O12" s="18"/>
      <c r="P12" s="18"/>
      <c r="Q12" s="22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16"/>
      <c r="B13" s="19">
        <f t="shared" si="1"/>
        <v>12</v>
      </c>
      <c r="C13" s="18" t="s">
        <v>125</v>
      </c>
      <c r="D13" s="19">
        <v>5.0</v>
      </c>
      <c r="E13" s="19" t="s">
        <v>11</v>
      </c>
      <c r="F13" s="18" t="s">
        <v>126</v>
      </c>
      <c r="G13" s="18" t="s">
        <v>88</v>
      </c>
      <c r="H13" s="19" t="s">
        <v>127</v>
      </c>
      <c r="I13" s="18" t="s">
        <v>128</v>
      </c>
      <c r="J13" s="18" t="s">
        <v>129</v>
      </c>
      <c r="K13" s="18" t="s">
        <v>130</v>
      </c>
      <c r="L13" s="18" t="s">
        <v>131</v>
      </c>
      <c r="M13" s="18" t="s">
        <v>44</v>
      </c>
      <c r="N13" s="18" t="s">
        <v>45</v>
      </c>
      <c r="O13" s="18"/>
      <c r="P13" s="18"/>
      <c r="Q13" s="22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16"/>
      <c r="B14" s="19">
        <f t="shared" si="1"/>
        <v>13</v>
      </c>
      <c r="C14" s="18" t="s">
        <v>132</v>
      </c>
      <c r="D14" s="19">
        <v>5.0</v>
      </c>
      <c r="E14" s="19" t="s">
        <v>13</v>
      </c>
      <c r="F14" s="18" t="s">
        <v>133</v>
      </c>
      <c r="G14" s="18" t="s">
        <v>134</v>
      </c>
      <c r="H14" s="19" t="s">
        <v>135</v>
      </c>
      <c r="I14" s="18" t="s">
        <v>136</v>
      </c>
      <c r="J14" s="18" t="s">
        <v>137</v>
      </c>
      <c r="K14" s="18" t="s">
        <v>138</v>
      </c>
      <c r="L14" s="18" t="s">
        <v>139</v>
      </c>
      <c r="M14" s="18" t="s">
        <v>44</v>
      </c>
      <c r="N14" s="18" t="s">
        <v>45</v>
      </c>
      <c r="O14" s="18"/>
      <c r="P14" s="18"/>
      <c r="Q14" s="22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16"/>
      <c r="B15" s="19">
        <f t="shared" si="1"/>
        <v>14</v>
      </c>
      <c r="C15" s="18" t="s">
        <v>140</v>
      </c>
      <c r="D15" s="19">
        <v>6.0</v>
      </c>
      <c r="E15" s="19" t="s">
        <v>13</v>
      </c>
      <c r="F15" s="18" t="s">
        <v>141</v>
      </c>
      <c r="G15" s="18" t="s">
        <v>134</v>
      </c>
      <c r="H15" s="19" t="s">
        <v>142</v>
      </c>
      <c r="I15" s="18" t="s">
        <v>143</v>
      </c>
      <c r="J15" s="18" t="s">
        <v>144</v>
      </c>
      <c r="K15" s="18" t="s">
        <v>145</v>
      </c>
      <c r="L15" s="18" t="s">
        <v>146</v>
      </c>
      <c r="M15" s="18" t="s">
        <v>44</v>
      </c>
      <c r="N15" s="18" t="s">
        <v>45</v>
      </c>
      <c r="O15" s="18"/>
      <c r="P15" s="18"/>
      <c r="Q15" s="22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16"/>
      <c r="B16" s="19">
        <f t="shared" si="1"/>
        <v>15</v>
      </c>
      <c r="C16" s="18" t="s">
        <v>147</v>
      </c>
      <c r="D16" s="19">
        <v>5.0</v>
      </c>
      <c r="E16" s="19" t="s">
        <v>15</v>
      </c>
      <c r="F16" s="18" t="s">
        <v>148</v>
      </c>
      <c r="G16" s="18" t="s">
        <v>149</v>
      </c>
      <c r="H16" s="19" t="s">
        <v>150</v>
      </c>
      <c r="I16" s="18" t="s">
        <v>151</v>
      </c>
      <c r="J16" s="18" t="s">
        <v>152</v>
      </c>
      <c r="K16" s="18" t="s">
        <v>153</v>
      </c>
      <c r="L16" s="18" t="s">
        <v>154</v>
      </c>
      <c r="M16" s="18" t="s">
        <v>44</v>
      </c>
      <c r="N16" s="18" t="s">
        <v>45</v>
      </c>
      <c r="O16" s="18"/>
      <c r="P16" s="18"/>
      <c r="Q16" s="22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16"/>
      <c r="B17" s="19">
        <f t="shared" si="1"/>
        <v>16</v>
      </c>
      <c r="C17" s="18" t="s">
        <v>155</v>
      </c>
      <c r="D17" s="19">
        <v>6.0</v>
      </c>
      <c r="E17" s="19" t="s">
        <v>15</v>
      </c>
      <c r="F17" s="18" t="s">
        <v>156</v>
      </c>
      <c r="G17" s="18" t="s">
        <v>157</v>
      </c>
      <c r="H17" s="19" t="s">
        <v>158</v>
      </c>
      <c r="I17" s="18" t="s">
        <v>159</v>
      </c>
      <c r="J17" s="18" t="s">
        <v>160</v>
      </c>
      <c r="K17" s="18" t="s">
        <v>161</v>
      </c>
      <c r="L17" s="18" t="s">
        <v>162</v>
      </c>
      <c r="M17" s="18" t="s">
        <v>44</v>
      </c>
      <c r="N17" s="18" t="s">
        <v>70</v>
      </c>
      <c r="O17" s="18"/>
      <c r="P17" s="18"/>
      <c r="Q17" s="22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16"/>
      <c r="B18" s="19">
        <f t="shared" si="1"/>
        <v>17</v>
      </c>
      <c r="C18" s="18" t="s">
        <v>163</v>
      </c>
      <c r="D18" s="19">
        <v>9.0</v>
      </c>
      <c r="E18" s="19" t="s">
        <v>16</v>
      </c>
      <c r="F18" s="18" t="s">
        <v>164</v>
      </c>
      <c r="G18" s="18" t="s">
        <v>165</v>
      </c>
      <c r="H18" s="19" t="s">
        <v>166</v>
      </c>
      <c r="I18" s="18" t="s">
        <v>167</v>
      </c>
      <c r="J18" s="18" t="s">
        <v>168</v>
      </c>
      <c r="K18" s="18" t="s">
        <v>169</v>
      </c>
      <c r="L18" s="18" t="s">
        <v>170</v>
      </c>
      <c r="M18" s="18" t="s">
        <v>44</v>
      </c>
      <c r="N18" s="18" t="s">
        <v>45</v>
      </c>
      <c r="O18" s="18"/>
      <c r="P18" s="18"/>
      <c r="Q18" s="22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16"/>
      <c r="B19" s="19">
        <f t="shared" si="1"/>
        <v>18</v>
      </c>
      <c r="C19" s="18" t="s">
        <v>171</v>
      </c>
      <c r="D19" s="19">
        <v>6.0</v>
      </c>
      <c r="E19" s="19" t="s">
        <v>17</v>
      </c>
      <c r="F19" s="18" t="s">
        <v>172</v>
      </c>
      <c r="G19" s="18" t="s">
        <v>173</v>
      </c>
      <c r="H19" s="19" t="s">
        <v>174</v>
      </c>
      <c r="I19" s="18" t="s">
        <v>175</v>
      </c>
      <c r="J19" s="18" t="s">
        <v>176</v>
      </c>
      <c r="K19" s="18" t="s">
        <v>177</v>
      </c>
      <c r="L19" s="18" t="s">
        <v>178</v>
      </c>
      <c r="M19" s="18" t="s">
        <v>44</v>
      </c>
      <c r="N19" s="18" t="s">
        <v>45</v>
      </c>
      <c r="O19" s="18"/>
      <c r="P19" s="18"/>
      <c r="Q19" s="22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16"/>
      <c r="B20" s="19">
        <f t="shared" si="1"/>
        <v>19</v>
      </c>
      <c r="C20" s="18" t="s">
        <v>179</v>
      </c>
      <c r="D20" s="19">
        <v>5.0</v>
      </c>
      <c r="E20" s="19" t="s">
        <v>17</v>
      </c>
      <c r="F20" s="18" t="s">
        <v>118</v>
      </c>
      <c r="G20" s="18" t="s">
        <v>180</v>
      </c>
      <c r="H20" s="19" t="s">
        <v>181</v>
      </c>
      <c r="I20" s="18" t="s">
        <v>182</v>
      </c>
      <c r="J20" s="18" t="s">
        <v>183</v>
      </c>
      <c r="K20" s="18" t="s">
        <v>184</v>
      </c>
      <c r="L20" s="18" t="s">
        <v>185</v>
      </c>
      <c r="M20" s="18" t="s">
        <v>44</v>
      </c>
      <c r="N20" s="18" t="s">
        <v>70</v>
      </c>
      <c r="O20" s="18"/>
      <c r="P20" s="18"/>
      <c r="Q20" s="22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16"/>
      <c r="B21" s="19">
        <f t="shared" si="1"/>
        <v>20</v>
      </c>
      <c r="C21" s="18" t="s">
        <v>186</v>
      </c>
      <c r="D21" s="19">
        <v>5.0</v>
      </c>
      <c r="E21" s="19" t="s">
        <v>17</v>
      </c>
      <c r="F21" s="18" t="s">
        <v>187</v>
      </c>
      <c r="G21" s="18" t="s">
        <v>56</v>
      </c>
      <c r="H21" s="19" t="s">
        <v>188</v>
      </c>
      <c r="I21" s="18" t="s">
        <v>189</v>
      </c>
      <c r="J21" s="18" t="s">
        <v>190</v>
      </c>
      <c r="K21" s="18" t="s">
        <v>191</v>
      </c>
      <c r="L21" s="18" t="s">
        <v>192</v>
      </c>
      <c r="M21" s="18" t="s">
        <v>44</v>
      </c>
      <c r="N21" s="18" t="s">
        <v>45</v>
      </c>
      <c r="O21" s="18"/>
      <c r="P21" s="18"/>
      <c r="Q21" s="22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16"/>
      <c r="B22" s="19">
        <f t="shared" si="1"/>
        <v>21</v>
      </c>
      <c r="C22" s="18" t="s">
        <v>193</v>
      </c>
      <c r="D22" s="19">
        <v>5.0</v>
      </c>
      <c r="E22" s="19" t="s">
        <v>17</v>
      </c>
      <c r="F22" s="18" t="s">
        <v>126</v>
      </c>
      <c r="G22" s="18" t="s">
        <v>194</v>
      </c>
      <c r="H22" s="19" t="s">
        <v>195</v>
      </c>
      <c r="I22" s="18" t="s">
        <v>196</v>
      </c>
      <c r="J22" s="18" t="s">
        <v>197</v>
      </c>
      <c r="K22" s="18" t="s">
        <v>198</v>
      </c>
      <c r="L22" s="18" t="s">
        <v>199</v>
      </c>
      <c r="M22" s="18" t="s">
        <v>44</v>
      </c>
      <c r="N22" s="18" t="s">
        <v>45</v>
      </c>
      <c r="O22" s="18"/>
      <c r="P22" s="18"/>
      <c r="Q22" s="22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16"/>
      <c r="B23" s="19">
        <f t="shared" si="1"/>
        <v>22</v>
      </c>
      <c r="C23" s="18" t="s">
        <v>200</v>
      </c>
      <c r="D23" s="19">
        <v>10.0</v>
      </c>
      <c r="E23" s="19" t="s">
        <v>18</v>
      </c>
      <c r="F23" s="18" t="s">
        <v>201</v>
      </c>
      <c r="G23" s="18" t="s">
        <v>202</v>
      </c>
      <c r="H23" s="19" t="s">
        <v>203</v>
      </c>
      <c r="I23" s="18" t="s">
        <v>204</v>
      </c>
      <c r="J23" s="18" t="s">
        <v>205</v>
      </c>
      <c r="K23" s="18" t="s">
        <v>206</v>
      </c>
      <c r="L23" s="18" t="s">
        <v>207</v>
      </c>
      <c r="M23" s="18" t="s">
        <v>44</v>
      </c>
      <c r="N23" s="18" t="s">
        <v>70</v>
      </c>
      <c r="O23" s="18"/>
      <c r="P23" s="18"/>
      <c r="Q23" s="22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16"/>
      <c r="B24" s="19">
        <f t="shared" si="1"/>
        <v>23</v>
      </c>
      <c r="C24" s="18" t="s">
        <v>208</v>
      </c>
      <c r="D24" s="19">
        <v>10.0</v>
      </c>
      <c r="E24" s="19" t="s">
        <v>18</v>
      </c>
      <c r="F24" s="18" t="s">
        <v>209</v>
      </c>
      <c r="G24" s="18" t="s">
        <v>210</v>
      </c>
      <c r="H24" s="19" t="s">
        <v>211</v>
      </c>
      <c r="I24" s="18" t="s">
        <v>212</v>
      </c>
      <c r="J24" s="18" t="s">
        <v>213</v>
      </c>
      <c r="K24" s="18" t="s">
        <v>214</v>
      </c>
      <c r="L24" s="18" t="s">
        <v>215</v>
      </c>
      <c r="M24" s="18" t="s">
        <v>44</v>
      </c>
      <c r="N24" s="18" t="s">
        <v>45</v>
      </c>
      <c r="O24" s="18"/>
      <c r="P24" s="18"/>
      <c r="Q24" s="22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16"/>
      <c r="B25" s="19">
        <f t="shared" si="1"/>
        <v>24</v>
      </c>
      <c r="C25" s="18" t="s">
        <v>216</v>
      </c>
      <c r="D25" s="19">
        <v>5.0</v>
      </c>
      <c r="E25" s="19" t="s">
        <v>19</v>
      </c>
      <c r="F25" s="18" t="s">
        <v>217</v>
      </c>
      <c r="G25" s="18" t="s">
        <v>218</v>
      </c>
      <c r="H25" s="19" t="s">
        <v>89</v>
      </c>
      <c r="I25" s="18" t="s">
        <v>219</v>
      </c>
      <c r="J25" s="18" t="s">
        <v>220</v>
      </c>
      <c r="K25" s="18" t="s">
        <v>221</v>
      </c>
      <c r="L25" s="18" t="s">
        <v>222</v>
      </c>
      <c r="M25" s="18" t="s">
        <v>44</v>
      </c>
      <c r="N25" s="18" t="s">
        <v>45</v>
      </c>
      <c r="O25" s="18"/>
      <c r="P25" s="18"/>
      <c r="Q25" s="22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>
      <c r="A26" s="16"/>
      <c r="B26" s="19">
        <f t="shared" si="1"/>
        <v>25</v>
      </c>
      <c r="C26" s="18" t="s">
        <v>223</v>
      </c>
      <c r="D26" s="19">
        <v>5.0</v>
      </c>
      <c r="E26" s="19" t="s">
        <v>19</v>
      </c>
      <c r="F26" s="18" t="s">
        <v>224</v>
      </c>
      <c r="G26" s="18" t="s">
        <v>225</v>
      </c>
      <c r="H26" s="19" t="s">
        <v>226</v>
      </c>
      <c r="I26" s="18" t="s">
        <v>227</v>
      </c>
      <c r="J26" s="18" t="s">
        <v>228</v>
      </c>
      <c r="K26" s="18" t="s">
        <v>229</v>
      </c>
      <c r="L26" s="18" t="s">
        <v>230</v>
      </c>
      <c r="M26" s="18" t="s">
        <v>44</v>
      </c>
      <c r="N26" s="18" t="s">
        <v>70</v>
      </c>
      <c r="O26" s="18"/>
      <c r="P26" s="18"/>
      <c r="Q26" s="22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>
      <c r="A27" s="16"/>
      <c r="B27" s="19">
        <f t="shared" si="1"/>
        <v>26</v>
      </c>
      <c r="C27" s="18" t="s">
        <v>231</v>
      </c>
      <c r="D27" s="19">
        <v>5.0</v>
      </c>
      <c r="E27" s="19" t="s">
        <v>19</v>
      </c>
      <c r="F27" s="18" t="s">
        <v>232</v>
      </c>
      <c r="G27" s="18" t="s">
        <v>233</v>
      </c>
      <c r="H27" s="19" t="s">
        <v>89</v>
      </c>
      <c r="I27" s="18" t="s">
        <v>234</v>
      </c>
      <c r="J27" s="18" t="s">
        <v>235</v>
      </c>
      <c r="K27" s="18" t="s">
        <v>236</v>
      </c>
      <c r="L27" s="18" t="s">
        <v>237</v>
      </c>
      <c r="M27" s="18" t="s">
        <v>44</v>
      </c>
      <c r="N27" s="18" t="s">
        <v>70</v>
      </c>
      <c r="O27" s="18"/>
      <c r="P27" s="18"/>
      <c r="Q27" s="22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>
      <c r="A28" s="16"/>
      <c r="B28" s="19">
        <f t="shared" si="1"/>
        <v>27</v>
      </c>
      <c r="C28" s="18" t="s">
        <v>238</v>
      </c>
      <c r="D28" s="19">
        <v>6.0</v>
      </c>
      <c r="E28" s="19" t="s">
        <v>19</v>
      </c>
      <c r="F28" s="18" t="s">
        <v>239</v>
      </c>
      <c r="G28" s="18" t="s">
        <v>240</v>
      </c>
      <c r="H28" s="19" t="s">
        <v>241</v>
      </c>
      <c r="I28" s="18" t="s">
        <v>242</v>
      </c>
      <c r="J28" s="18" t="s">
        <v>243</v>
      </c>
      <c r="K28" s="18" t="s">
        <v>244</v>
      </c>
      <c r="L28" s="18" t="s">
        <v>245</v>
      </c>
      <c r="M28" s="18" t="s">
        <v>44</v>
      </c>
      <c r="N28" s="18" t="s">
        <v>45</v>
      </c>
      <c r="O28" s="18"/>
      <c r="P28" s="18"/>
      <c r="Q28" s="22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>
      <c r="A29" s="16"/>
      <c r="B29" s="19">
        <f t="shared" si="1"/>
        <v>28</v>
      </c>
      <c r="C29" s="18" t="s">
        <v>246</v>
      </c>
      <c r="D29" s="19">
        <v>2.0</v>
      </c>
      <c r="E29" s="19" t="s">
        <v>20</v>
      </c>
      <c r="F29" s="18" t="s">
        <v>247</v>
      </c>
      <c r="G29" s="18" t="s">
        <v>194</v>
      </c>
      <c r="H29" s="19" t="s">
        <v>89</v>
      </c>
      <c r="I29" s="18" t="s">
        <v>248</v>
      </c>
      <c r="J29" s="18" t="s">
        <v>249</v>
      </c>
      <c r="K29" s="18" t="s">
        <v>250</v>
      </c>
      <c r="L29" s="18" t="s">
        <v>251</v>
      </c>
      <c r="M29" s="18" t="s">
        <v>44</v>
      </c>
      <c r="N29" s="18" t="s">
        <v>45</v>
      </c>
      <c r="O29" s="18"/>
      <c r="P29" s="18"/>
      <c r="Q29" s="22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>
      <c r="A30" s="16"/>
      <c r="B30" s="19">
        <f t="shared" si="1"/>
        <v>29</v>
      </c>
      <c r="C30" s="18" t="s">
        <v>252</v>
      </c>
      <c r="D30" s="19">
        <v>10.0</v>
      </c>
      <c r="E30" s="19" t="s">
        <v>21</v>
      </c>
      <c r="F30" s="18" t="s">
        <v>253</v>
      </c>
      <c r="G30" s="18" t="s">
        <v>254</v>
      </c>
      <c r="H30" s="19" t="s">
        <v>89</v>
      </c>
      <c r="I30" s="18" t="s">
        <v>255</v>
      </c>
      <c r="J30" s="18" t="s">
        <v>256</v>
      </c>
      <c r="K30" s="18" t="s">
        <v>257</v>
      </c>
      <c r="L30" s="18" t="s">
        <v>258</v>
      </c>
      <c r="M30" s="18" t="s">
        <v>44</v>
      </c>
      <c r="N30" s="18" t="s">
        <v>70</v>
      </c>
      <c r="O30" s="18"/>
      <c r="P30" s="18"/>
      <c r="Q30" s="22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>
      <c r="A31" s="16"/>
      <c r="B31" s="19">
        <f t="shared" si="1"/>
        <v>30</v>
      </c>
      <c r="C31" s="18" t="s">
        <v>259</v>
      </c>
      <c r="D31" s="19">
        <v>10.0</v>
      </c>
      <c r="E31" s="19" t="s">
        <v>21</v>
      </c>
      <c r="F31" s="18" t="s">
        <v>260</v>
      </c>
      <c r="G31" s="18" t="s">
        <v>261</v>
      </c>
      <c r="H31" s="19" t="s">
        <v>39</v>
      </c>
      <c r="I31" s="18" t="s">
        <v>262</v>
      </c>
      <c r="J31" s="18" t="s">
        <v>263</v>
      </c>
      <c r="K31" s="18" t="s">
        <v>264</v>
      </c>
      <c r="L31" s="18" t="s">
        <v>265</v>
      </c>
      <c r="M31" s="18" t="s">
        <v>44</v>
      </c>
      <c r="N31" s="18" t="s">
        <v>45</v>
      </c>
      <c r="O31" s="18"/>
      <c r="P31" s="18"/>
      <c r="Q31" s="22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>
      <c r="A32" s="24"/>
      <c r="B32" s="25"/>
      <c r="C32" s="22"/>
      <c r="D32" s="24"/>
      <c r="E32" s="24"/>
      <c r="F32" s="22"/>
      <c r="G32" s="22"/>
      <c r="H32" s="24"/>
      <c r="I32" s="22"/>
      <c r="J32" s="22"/>
      <c r="K32" s="22"/>
      <c r="L32" s="22"/>
      <c r="M32" s="22"/>
      <c r="N32" s="22"/>
      <c r="O32" s="22"/>
      <c r="P32" s="22"/>
      <c r="Q32" s="22"/>
      <c r="R32" s="23"/>
      <c r="S32" s="23"/>
      <c r="T32" s="23"/>
      <c r="U32" s="23"/>
      <c r="V32" s="23"/>
      <c r="W32" s="23"/>
      <c r="X32" s="23"/>
      <c r="Y32" s="23"/>
      <c r="Z32" s="23"/>
      <c r="AA32" s="23"/>
    </row>
  </sheetData>
  <conditionalFormatting sqref="N2:N32">
    <cfRule type="expression" dxfId="6" priority="1">
      <formula>N2="High"</formula>
    </cfRule>
  </conditionalFormatting>
  <conditionalFormatting sqref="N2:N32">
    <cfRule type="expression" dxfId="7" priority="2">
      <formula>N2="Medium"</formula>
    </cfRule>
  </conditionalFormatting>
  <conditionalFormatting sqref="M2:M32">
    <cfRule type="expression" dxfId="8" priority="3">
      <formula>M2="Locked"</formula>
    </cfRule>
  </conditionalFormatting>
  <conditionalFormatting sqref="M2:M32">
    <cfRule type="expression" dxfId="9" priority="4">
      <formula>M2="Rework"</formula>
    </cfRule>
  </conditionalFormatting>
  <dataValidations>
    <dataValidation type="list" allowBlank="1" sqref="M2:M32">
      <formula1>Lookups!$A$2:$A$6</formula1>
    </dataValidation>
    <dataValidation type="list" allowBlank="1" sqref="N2:N32">
      <formula1>Lookups!$B$2:$B$4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79.38"/>
    <col customWidth="1" min="3" max="26" width="8.63"/>
  </cols>
  <sheetData>
    <row r="1">
      <c r="A1" s="26" t="s">
        <v>266</v>
      </c>
      <c r="B1" s="26" t="s">
        <v>267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268</v>
      </c>
      <c r="B2" s="28" t="s">
        <v>269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270</v>
      </c>
      <c r="B3" s="29" t="s">
        <v>271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39</v>
      </c>
      <c r="B4" s="28" t="s">
        <v>272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9" t="s">
        <v>273</v>
      </c>
      <c r="B5" s="29" t="s">
        <v>274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104</v>
      </c>
      <c r="B6" s="28" t="s">
        <v>275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276</v>
      </c>
      <c r="B7" s="28" t="s">
        <v>277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278</v>
      </c>
      <c r="B8" s="28" t="s">
        <v>279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280</v>
      </c>
      <c r="B9" s="28" t="s">
        <v>281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282</v>
      </c>
      <c r="B10" s="28" t="s">
        <v>283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284</v>
      </c>
      <c r="B11" s="28" t="s">
        <v>285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286</v>
      </c>
      <c r="B12" s="28" t="s">
        <v>287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2.0"/>
    <col customWidth="1" min="4" max="26" width="8.63"/>
  </cols>
  <sheetData>
    <row r="1">
      <c r="A1" s="30" t="s">
        <v>288</v>
      </c>
      <c r="B1" s="30" t="s">
        <v>289</v>
      </c>
      <c r="C1" s="30" t="s">
        <v>290</v>
      </c>
    </row>
    <row r="2">
      <c r="A2" s="31" t="s">
        <v>44</v>
      </c>
      <c r="B2" s="31" t="s">
        <v>45</v>
      </c>
      <c r="C2" s="31" t="s">
        <v>7</v>
      </c>
    </row>
    <row r="3">
      <c r="A3" s="31" t="s">
        <v>291</v>
      </c>
      <c r="B3" s="31" t="s">
        <v>70</v>
      </c>
      <c r="C3" s="31" t="s">
        <v>9</v>
      </c>
    </row>
    <row r="4">
      <c r="A4" s="31" t="s">
        <v>292</v>
      </c>
      <c r="B4" s="31" t="s">
        <v>293</v>
      </c>
      <c r="C4" s="31" t="s">
        <v>11</v>
      </c>
    </row>
    <row r="5">
      <c r="A5" s="31" t="s">
        <v>294</v>
      </c>
      <c r="C5" s="31" t="s">
        <v>13</v>
      </c>
    </row>
    <row r="6">
      <c r="A6" s="31" t="s">
        <v>295</v>
      </c>
      <c r="C6" s="31" t="s">
        <v>15</v>
      </c>
    </row>
    <row r="7">
      <c r="C7" s="31" t="s">
        <v>16</v>
      </c>
    </row>
    <row r="8">
      <c r="C8" s="31" t="s">
        <v>17</v>
      </c>
    </row>
    <row r="9">
      <c r="C9" s="31" t="s">
        <v>18</v>
      </c>
    </row>
    <row r="10">
      <c r="C10" s="31" t="s">
        <v>19</v>
      </c>
    </row>
    <row r="11">
      <c r="C11" s="31" t="s">
        <v>20</v>
      </c>
    </row>
    <row r="12">
      <c r="C12" s="31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